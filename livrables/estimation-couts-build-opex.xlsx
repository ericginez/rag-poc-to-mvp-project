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1c6a3f6a09699f/Documents/OpenClassrooms Data Engineer/13_Passez votre système IA du POC au MVP et réalisez votre portfolio de Data Engineer/"/>
    </mc:Choice>
  </mc:AlternateContent>
  <xr:revisionPtr revIDLastSave="22" documentId="8_{B230EF42-C9D3-4686-A86E-C61317EA97C4}" xr6:coauthVersionLast="47" xr6:coauthVersionMax="47" xr10:uidLastSave="{8584D1E9-89BD-4EC7-865B-9F932EA011CB}"/>
  <bookViews>
    <workbookView xWindow="-108" yWindow="-108" windowWidth="23256" windowHeight="12456" activeTab="2" xr2:uid="{00B133C3-751B-49AF-9A86-22A4D9909C37}"/>
  </bookViews>
  <sheets>
    <sheet name="Coût BUILD" sheetId="2" r:id="rId1"/>
    <sheet name="OPEX mensuel" sheetId="3" r:id="rId2"/>
    <sheet name="Optimisations budgétair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E10" i="2"/>
</calcChain>
</file>

<file path=xl/sharedStrings.xml><?xml version="1.0" encoding="utf-8"?>
<sst xmlns="http://schemas.openxmlformats.org/spreadsheetml/2006/main" count="68" uniqueCount="64">
  <si>
    <t>Hypothèse</t>
  </si>
  <si>
    <t>Exploitation</t>
  </si>
  <si>
    <t>ECS Fargate</t>
  </si>
  <si>
    <t>RDS PostgreSQL</t>
  </si>
  <si>
    <t>Poste</t>
  </si>
  <si>
    <t>Description</t>
  </si>
  <si>
    <t>Charge (JH)</t>
  </si>
  <si>
    <t>TJM (€)</t>
  </si>
  <si>
    <t>Coût (€)</t>
  </si>
  <si>
    <t>Analyse des besoins</t>
  </si>
  <si>
    <t>Ateliers métier, cadrage</t>
  </si>
  <si>
    <t>Architecture technique</t>
  </si>
  <si>
    <t>Cloud, sécurité, CI/CD</t>
  </si>
  <si>
    <t>Développement Backend</t>
  </si>
  <si>
    <t>API, RAG, mémoire, géolocalisation</t>
  </si>
  <si>
    <t>Développement Frontend</t>
  </si>
  <si>
    <t>Interface utilisateur</t>
  </si>
  <si>
    <t>Infrastructure Cloud</t>
  </si>
  <si>
    <t>Terraform / déploiement</t>
  </si>
  <si>
    <t>Tests</t>
  </si>
  <si>
    <t>Unitaires, intégration, recette</t>
  </si>
  <si>
    <t>Documentation</t>
  </si>
  <si>
    <t>Technique + utilisateur</t>
  </si>
  <si>
    <t>Gestion de projet</t>
  </si>
  <si>
    <t>Pilotage</t>
  </si>
  <si>
    <t>TOTAL BUILD</t>
  </si>
  <si>
    <t>Coût mensuel (€)</t>
  </si>
  <si>
    <t>2 tâches permanentes</t>
  </si>
  <si>
    <t>db.t3.medium</t>
  </si>
  <si>
    <t>Stockage S3</t>
  </si>
  <si>
    <t>50 Go</t>
  </si>
  <si>
    <t>CloudWatch</t>
  </si>
  <si>
    <t>Logs + métriques</t>
  </si>
  <si>
    <t>Trafic réseau</t>
  </si>
  <si>
    <t>Sortant</t>
  </si>
  <si>
    <t>API LLM</t>
  </si>
  <si>
    <t>10 000 conversations</t>
  </si>
  <si>
    <t>Sauvegardes</t>
  </si>
  <si>
    <t>Snapshots</t>
  </si>
  <si>
    <t>Support / maintenance</t>
  </si>
  <si>
    <t>TOTAL OPEX</t>
  </si>
  <si>
    <t>Volume utilisateurs</t>
  </si>
  <si>
    <t>OPEX estimé</t>
  </si>
  <si>
    <t>Action</t>
  </si>
  <si>
    <t>Gain attendu</t>
  </si>
  <si>
    <t>Impact</t>
  </si>
  <si>
    <t>Mise en cache des réponses RAG</t>
  </si>
  <si>
    <t>Forte réduction des appels LLM</t>
  </si>
  <si>
    <t>Élevé</t>
  </si>
  <si>
    <t>Autoscaling ECS</t>
  </si>
  <si>
    <t>Réduction des coûts hors pics</t>
  </si>
  <si>
    <t>Extinction des environnements de test</t>
  </si>
  <si>
    <t>Suppression des coûts inutiles</t>
  </si>
  <si>
    <t>Moyen</t>
  </si>
  <si>
    <t>Archivage S3</t>
  </si>
  <si>
    <t>Stockage moins coûteux</t>
  </si>
  <si>
    <t>Faible</t>
  </si>
  <si>
    <t>Compression des embeddings</t>
  </si>
  <si>
    <t>Réduction stockage/vector DB</t>
  </si>
  <si>
    <t>Mutualisation des API</t>
  </si>
  <si>
    <t>Réduction du trafic</t>
  </si>
  <si>
    <t>Choix d'un modèle LLM plus économique</t>
  </si>
  <si>
    <t>Réduction de 30–60 % du coût IA</t>
  </si>
  <si>
    <t>Très élevé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</si>
</sst>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3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3" fontId="1" fillId="0" borderId="5" xfId="0" applyNumberFormat="1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183D-8EC7-4173-BA8D-6AD168F6AAC6}">
  <dimension ref="A1:E10"/>
  <sheetViews>
    <sheetView workbookViewId="0"/>
  </sheetViews>
  <sheetFormatPr baseColWidth="10" defaultRowHeight="10.199999999999999" x14ac:dyDescent="0.2"/>
  <cols>
    <col min="1" max="1" width="21.7109375" bestFit="1" customWidth="1"/>
    <col min="2" max="2" width="31.28515625" bestFit="1" customWidth="1"/>
    <col min="3" max="3" width="11.5703125" bestFit="1" customWidth="1"/>
    <col min="4" max="4" width="7.42578125" bestFit="1" customWidth="1"/>
    <col min="5" max="5" width="7.85546875" bestFit="1" customWidth="1"/>
  </cols>
  <sheetData>
    <row r="1" spans="1:5" s="2" customFormat="1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2">
      <c r="A2" s="4" t="s">
        <v>9</v>
      </c>
      <c r="B2" s="4" t="s">
        <v>10</v>
      </c>
      <c r="C2" s="4">
        <v>5</v>
      </c>
      <c r="D2" s="4">
        <v>600</v>
      </c>
      <c r="E2" s="5">
        <v>3000</v>
      </c>
    </row>
    <row r="3" spans="1:5" x14ac:dyDescent="0.2">
      <c r="A3" s="4" t="s">
        <v>11</v>
      </c>
      <c r="B3" s="4" t="s">
        <v>12</v>
      </c>
      <c r="C3" s="4">
        <v>4</v>
      </c>
      <c r="D3" s="4">
        <v>700</v>
      </c>
      <c r="E3" s="5">
        <v>2800</v>
      </c>
    </row>
    <row r="4" spans="1:5" x14ac:dyDescent="0.2">
      <c r="A4" s="4" t="s">
        <v>13</v>
      </c>
      <c r="B4" s="4" t="s">
        <v>14</v>
      </c>
      <c r="C4" s="4">
        <v>15</v>
      </c>
      <c r="D4" s="4">
        <v>600</v>
      </c>
      <c r="E4" s="5">
        <v>9000</v>
      </c>
    </row>
    <row r="5" spans="1:5" x14ac:dyDescent="0.2">
      <c r="A5" s="4" t="s">
        <v>15</v>
      </c>
      <c r="B5" s="4" t="s">
        <v>16</v>
      </c>
      <c r="C5" s="4">
        <v>8</v>
      </c>
      <c r="D5" s="4">
        <v>550</v>
      </c>
      <c r="E5" s="5">
        <v>4400</v>
      </c>
    </row>
    <row r="6" spans="1:5" x14ac:dyDescent="0.2">
      <c r="A6" s="4" t="s">
        <v>17</v>
      </c>
      <c r="B6" s="4" t="s">
        <v>18</v>
      </c>
      <c r="C6" s="4">
        <v>5</v>
      </c>
      <c r="D6" s="4">
        <v>650</v>
      </c>
      <c r="E6" s="5">
        <v>3250</v>
      </c>
    </row>
    <row r="7" spans="1:5" x14ac:dyDescent="0.2">
      <c r="A7" s="4" t="s">
        <v>19</v>
      </c>
      <c r="B7" s="4" t="s">
        <v>20</v>
      </c>
      <c r="C7" s="4">
        <v>5</v>
      </c>
      <c r="D7" s="4">
        <v>500</v>
      </c>
      <c r="E7" s="5">
        <v>2500</v>
      </c>
    </row>
    <row r="8" spans="1:5" x14ac:dyDescent="0.2">
      <c r="A8" s="4" t="s">
        <v>21</v>
      </c>
      <c r="B8" s="4" t="s">
        <v>22</v>
      </c>
      <c r="C8" s="4">
        <v>3</v>
      </c>
      <c r="D8" s="4">
        <v>450</v>
      </c>
      <c r="E8" s="5">
        <v>1350</v>
      </c>
    </row>
    <row r="9" spans="1:5" x14ac:dyDescent="0.2">
      <c r="A9" s="6" t="s">
        <v>23</v>
      </c>
      <c r="B9" s="6" t="s">
        <v>24</v>
      </c>
      <c r="C9" s="6">
        <v>5</v>
      </c>
      <c r="D9" s="6">
        <v>650</v>
      </c>
      <c r="E9" s="7">
        <v>3250</v>
      </c>
    </row>
    <row r="10" spans="1:5" s="1" customFormat="1" x14ac:dyDescent="0.2">
      <c r="A10" s="8" t="s">
        <v>25</v>
      </c>
      <c r="B10" s="9"/>
      <c r="C10" s="9"/>
      <c r="D10" s="9"/>
      <c r="E10" s="10">
        <f>SUM(E2:E9)</f>
        <v>29550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BE5F-A46B-4AF7-8E69-754AAE7E423C}">
  <dimension ref="A1:F10"/>
  <sheetViews>
    <sheetView workbookViewId="0"/>
  </sheetViews>
  <sheetFormatPr baseColWidth="10" defaultRowHeight="10.199999999999999" x14ac:dyDescent="0.2"/>
  <cols>
    <col min="1" max="1" width="19.85546875" bestFit="1" customWidth="1"/>
    <col min="2" max="2" width="19.5703125" bestFit="1" customWidth="1"/>
    <col min="3" max="3" width="16.28515625" bestFit="1" customWidth="1"/>
    <col min="5" max="5" width="18.5703125" bestFit="1" customWidth="1"/>
    <col min="6" max="6" width="12.7109375" bestFit="1" customWidth="1"/>
  </cols>
  <sheetData>
    <row r="1" spans="1:6" s="2" customFormat="1" x14ac:dyDescent="0.2">
      <c r="A1" s="3" t="s">
        <v>4</v>
      </c>
      <c r="B1" s="3" t="s">
        <v>0</v>
      </c>
      <c r="C1" s="3" t="s">
        <v>26</v>
      </c>
      <c r="E1" s="3" t="s">
        <v>41</v>
      </c>
      <c r="F1" s="3" t="s">
        <v>42</v>
      </c>
    </row>
    <row r="2" spans="1:6" x14ac:dyDescent="0.2">
      <c r="A2" s="4" t="s">
        <v>2</v>
      </c>
      <c r="B2" s="4" t="s">
        <v>27</v>
      </c>
      <c r="C2" s="5">
        <v>110</v>
      </c>
      <c r="E2" s="4">
        <v>500</v>
      </c>
      <c r="F2" s="10">
        <v>1100</v>
      </c>
    </row>
    <row r="3" spans="1:6" x14ac:dyDescent="0.2">
      <c r="A3" s="4" t="s">
        <v>3</v>
      </c>
      <c r="B3" s="4" t="s">
        <v>28</v>
      </c>
      <c r="C3" s="5">
        <v>70</v>
      </c>
      <c r="E3" s="5">
        <v>2000</v>
      </c>
      <c r="F3" s="10">
        <v>2400</v>
      </c>
    </row>
    <row r="4" spans="1:6" x14ac:dyDescent="0.2">
      <c r="A4" s="4" t="s">
        <v>29</v>
      </c>
      <c r="B4" s="4" t="s">
        <v>30</v>
      </c>
      <c r="C4" s="5">
        <v>2</v>
      </c>
      <c r="E4" s="5">
        <v>5000</v>
      </c>
      <c r="F4" s="10">
        <v>5500</v>
      </c>
    </row>
    <row r="5" spans="1:6" x14ac:dyDescent="0.2">
      <c r="A5" s="4" t="s">
        <v>31</v>
      </c>
      <c r="B5" s="4" t="s">
        <v>32</v>
      </c>
      <c r="C5" s="5">
        <v>20</v>
      </c>
    </row>
    <row r="6" spans="1:6" x14ac:dyDescent="0.2">
      <c r="A6" s="4" t="s">
        <v>33</v>
      </c>
      <c r="B6" s="4" t="s">
        <v>34</v>
      </c>
      <c r="C6" s="5">
        <v>20</v>
      </c>
    </row>
    <row r="7" spans="1:6" x14ac:dyDescent="0.2">
      <c r="A7" s="4" t="s">
        <v>35</v>
      </c>
      <c r="B7" s="4" t="s">
        <v>36</v>
      </c>
      <c r="C7" s="5">
        <v>350</v>
      </c>
    </row>
    <row r="8" spans="1:6" x14ac:dyDescent="0.2">
      <c r="A8" s="4" t="s">
        <v>37</v>
      </c>
      <c r="B8" s="4" t="s">
        <v>38</v>
      </c>
      <c r="C8" s="5">
        <v>15</v>
      </c>
    </row>
    <row r="9" spans="1:6" x14ac:dyDescent="0.2">
      <c r="A9" s="6" t="s">
        <v>39</v>
      </c>
      <c r="B9" s="6" t="s">
        <v>1</v>
      </c>
      <c r="C9" s="7">
        <v>500</v>
      </c>
    </row>
    <row r="10" spans="1:6" s="11" customFormat="1" x14ac:dyDescent="0.2">
      <c r="A10" s="8" t="s">
        <v>40</v>
      </c>
      <c r="B10" s="9"/>
      <c r="C10" s="10">
        <f>SUM(C2:C9)</f>
        <v>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11D8-46BF-4243-82DD-BEE5ADA7C49B}">
  <dimension ref="A1:C8"/>
  <sheetViews>
    <sheetView tabSelected="1" workbookViewId="0"/>
  </sheetViews>
  <sheetFormatPr baseColWidth="10" defaultRowHeight="10.199999999999999" x14ac:dyDescent="0.2"/>
  <cols>
    <col min="1" max="1" width="35.42578125" bestFit="1" customWidth="1"/>
    <col min="2" max="2" width="29.140625" bestFit="1" customWidth="1"/>
    <col min="3" max="3" width="9.28515625" bestFit="1" customWidth="1"/>
  </cols>
  <sheetData>
    <row r="1" spans="1:3" s="2" customFormat="1" x14ac:dyDescent="0.2">
      <c r="A1" s="3" t="s">
        <v>43</v>
      </c>
      <c r="B1" s="3" t="s">
        <v>44</v>
      </c>
      <c r="C1" s="3" t="s">
        <v>45</v>
      </c>
    </row>
    <row r="2" spans="1:3" x14ac:dyDescent="0.2">
      <c r="A2" s="4" t="s">
        <v>46</v>
      </c>
      <c r="B2" s="4" t="s">
        <v>47</v>
      </c>
      <c r="C2" s="4" t="s">
        <v>48</v>
      </c>
    </row>
    <row r="3" spans="1:3" x14ac:dyDescent="0.2">
      <c r="A3" s="4" t="s">
        <v>49</v>
      </c>
      <c r="B3" s="4" t="s">
        <v>50</v>
      </c>
      <c r="C3" s="4" t="s">
        <v>48</v>
      </c>
    </row>
    <row r="4" spans="1:3" x14ac:dyDescent="0.2">
      <c r="A4" s="4" t="s">
        <v>51</v>
      </c>
      <c r="B4" s="4" t="s">
        <v>52</v>
      </c>
      <c r="C4" s="4" t="s">
        <v>53</v>
      </c>
    </row>
    <row r="5" spans="1:3" x14ac:dyDescent="0.2">
      <c r="A5" s="4" t="s">
        <v>54</v>
      </c>
      <c r="B5" s="4" t="s">
        <v>55</v>
      </c>
      <c r="C5" s="4" t="s">
        <v>56</v>
      </c>
    </row>
    <row r="6" spans="1:3" x14ac:dyDescent="0.2">
      <c r="A6" s="4" t="s">
        <v>57</v>
      </c>
      <c r="B6" s="4" t="s">
        <v>58</v>
      </c>
      <c r="C6" s="4" t="s">
        <v>53</v>
      </c>
    </row>
    <row r="7" spans="1:3" x14ac:dyDescent="0.2">
      <c r="A7" s="4" t="s">
        <v>59</v>
      </c>
      <c r="B7" s="4" t="s">
        <v>60</v>
      </c>
      <c r="C7" s="4" t="s">
        <v>56</v>
      </c>
    </row>
    <row r="8" spans="1:3" x14ac:dyDescent="0.2">
      <c r="A8" s="4" t="s">
        <v>61</v>
      </c>
      <c r="B8" s="4" t="s">
        <v>62</v>
      </c>
      <c r="C8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Coût BUILD</vt:lpstr>
      <vt:lpstr>OPEX mensuel</vt:lpstr>
      <vt:lpstr>Optimisations budgétaires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Ginez</dc:creator>
  <cp:lastModifiedBy>Eric Ginez</cp:lastModifiedBy>
  <dcterms:created xsi:type="dcterms:W3CDTF">2026-07-09T13:30:40Z</dcterms:created>
  <dcterms:modified xsi:type="dcterms:W3CDTF">2026-07-12T09:05:39Z</dcterms:modified>
</cp:coreProperties>
</file>